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A0CF005321A2CD/ドキュメント/"/>
    </mc:Choice>
  </mc:AlternateContent>
  <xr:revisionPtr revIDLastSave="49" documentId="8_{C527A117-CE0F-4BFC-9EBE-C2225002B4CD}" xr6:coauthVersionLast="47" xr6:coauthVersionMax="47" xr10:uidLastSave="{C5FC2712-6BC7-4EF5-8EB1-101A9D33963C}"/>
  <bookViews>
    <workbookView xWindow="0" yWindow="0" windowWidth="22770" windowHeight="14610" xr2:uid="{E0B762EA-0600-42F2-896E-99028FFD2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C17" i="1"/>
  <c r="B17" i="1"/>
</calcChain>
</file>

<file path=xl/sharedStrings.xml><?xml version="1.0" encoding="utf-8"?>
<sst xmlns="http://schemas.openxmlformats.org/spreadsheetml/2006/main" count="11" uniqueCount="10">
  <si>
    <t>6/20（土）</t>
    <phoneticPr fontId="1"/>
  </si>
  <si>
    <t>収入</t>
    <rPh sb="0" eb="2">
      <t>シュウニュウ</t>
    </rPh>
    <phoneticPr fontId="1"/>
  </si>
  <si>
    <t>支出</t>
    <rPh sb="0" eb="2">
      <t>シシュツ</t>
    </rPh>
    <phoneticPr fontId="1"/>
  </si>
  <si>
    <t>合計</t>
    <rPh sb="0" eb="2">
      <t>ゴウケイ</t>
    </rPh>
    <phoneticPr fontId="1"/>
  </si>
  <si>
    <t>6/21(日)</t>
    <rPh sb="5" eb="6">
      <t>ニチ</t>
    </rPh>
    <phoneticPr fontId="1"/>
  </si>
  <si>
    <t>酒類、食品、備品</t>
    <rPh sb="0" eb="2">
      <t>シュルイ</t>
    </rPh>
    <rPh sb="3" eb="5">
      <t>ショクヒン</t>
    </rPh>
    <rPh sb="6" eb="8">
      <t>ビヒン</t>
    </rPh>
    <phoneticPr fontId="1"/>
  </si>
  <si>
    <t>懇親会費3000円×16人</t>
    <rPh sb="0" eb="4">
      <t>コンシンカイヒ</t>
    </rPh>
    <rPh sb="8" eb="9">
      <t>エン</t>
    </rPh>
    <rPh sb="12" eb="13">
      <t>ニン</t>
    </rPh>
    <phoneticPr fontId="1"/>
  </si>
  <si>
    <t>懇親会費3000円×12人</t>
    <rPh sb="0" eb="4">
      <t>コンシンカイヒ</t>
    </rPh>
    <rPh sb="8" eb="9">
      <t>エン</t>
    </rPh>
    <rPh sb="12" eb="13">
      <t>ニン</t>
    </rPh>
    <phoneticPr fontId="1"/>
  </si>
  <si>
    <t>残金</t>
    <rPh sb="0" eb="2">
      <t>ザンキン</t>
    </rPh>
    <phoneticPr fontId="1"/>
  </si>
  <si>
    <t>初台in藤沢2026</t>
    <rPh sb="0" eb="2">
      <t>ハツダイ</t>
    </rPh>
    <rPh sb="4" eb="6">
      <t>フジサワ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</si>
</sst>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3" xfId="0" applyBorder="1">
      <alignment vertical="center"/>
    </xf>
    <xf numFmtId="38" fontId="0" fillId="0" borderId="1" xfId="1" applyFont="1" applyBorder="1">
      <alignment vertical="center"/>
    </xf>
    <xf numFmtId="38" fontId="0" fillId="0" borderId="2" xfId="1" applyFont="1" applyBorder="1">
      <alignment vertical="center"/>
    </xf>
    <xf numFmtId="38" fontId="0" fillId="0" borderId="3" xfId="1" applyFont="1" applyBorder="1">
      <alignment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38" fontId="0" fillId="0" borderId="10" xfId="1" applyFont="1" applyBorder="1">
      <alignment vertical="center"/>
    </xf>
    <xf numFmtId="0" fontId="0" fillId="0" borderId="11" xfId="0" applyBorder="1">
      <alignment vertical="center"/>
    </xf>
    <xf numFmtId="38" fontId="0" fillId="0" borderId="12" xfId="1" applyFont="1" applyBorder="1">
      <alignment vertical="center"/>
    </xf>
    <xf numFmtId="38" fontId="0" fillId="0" borderId="8" xfId="1" applyFont="1" applyBorder="1">
      <alignment vertical="center"/>
    </xf>
    <xf numFmtId="0" fontId="0" fillId="0" borderId="7" xfId="0" applyBorder="1">
      <alignment vertical="center"/>
    </xf>
    <xf numFmtId="0" fontId="0" fillId="0" borderId="13" xfId="0" applyBorder="1" applyAlignment="1">
      <alignment horizontal="center" vertical="center"/>
    </xf>
    <xf numFmtId="6" fontId="0" fillId="0" borderId="14" xfId="2" applyFont="1" applyBorder="1" applyAlignment="1">
      <alignment horizontal="center" vertical="center"/>
    </xf>
    <xf numFmtId="6" fontId="0" fillId="0" borderId="15" xfId="2" applyFont="1" applyBorder="1" applyAlignment="1">
      <alignment horizontal="center" vertical="center"/>
    </xf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40FB-514E-4F80-9800-3DEC0270B553}">
  <dimension ref="A1:C18"/>
  <sheetViews>
    <sheetView tabSelected="1" workbookViewId="0">
      <selection activeCell="F9" sqref="F9"/>
    </sheetView>
  </sheetViews>
  <sheetFormatPr defaultRowHeight="18.75" x14ac:dyDescent="0.4"/>
  <cols>
    <col min="1" max="1" width="19.75" bestFit="1" customWidth="1"/>
  </cols>
  <sheetData>
    <row r="1" spans="1:3" ht="26.25" customHeight="1" thickBot="1" x14ac:dyDescent="0.45">
      <c r="A1" s="5" t="s">
        <v>9</v>
      </c>
      <c r="B1" s="6" t="s">
        <v>1</v>
      </c>
      <c r="C1" s="7" t="s">
        <v>2</v>
      </c>
    </row>
    <row r="2" spans="1:3" ht="19.5" thickTop="1" x14ac:dyDescent="0.4">
      <c r="A2" s="8" t="s">
        <v>0</v>
      </c>
      <c r="B2" s="1"/>
      <c r="C2" s="9"/>
    </row>
    <row r="3" spans="1:3" x14ac:dyDescent="0.4">
      <c r="A3" s="10" t="s">
        <v>7</v>
      </c>
      <c r="B3" s="2">
        <v>36000</v>
      </c>
      <c r="C3" s="11"/>
    </row>
    <row r="4" spans="1:3" x14ac:dyDescent="0.4">
      <c r="A4" s="10" t="s">
        <v>5</v>
      </c>
      <c r="B4" s="2"/>
      <c r="C4" s="11">
        <v>9336</v>
      </c>
    </row>
    <row r="5" spans="1:3" x14ac:dyDescent="0.4">
      <c r="A5" s="10"/>
      <c r="B5" s="2"/>
      <c r="C5" s="11">
        <v>3532</v>
      </c>
    </row>
    <row r="6" spans="1:3" x14ac:dyDescent="0.4">
      <c r="A6" s="10"/>
      <c r="B6" s="2"/>
      <c r="C6" s="11">
        <v>4408</v>
      </c>
    </row>
    <row r="7" spans="1:3" x14ac:dyDescent="0.4">
      <c r="A7" s="10"/>
      <c r="B7" s="2"/>
      <c r="C7" s="11">
        <v>5429</v>
      </c>
    </row>
    <row r="8" spans="1:3" x14ac:dyDescent="0.4">
      <c r="A8" s="10"/>
      <c r="B8" s="2"/>
      <c r="C8" s="11">
        <v>2640</v>
      </c>
    </row>
    <row r="9" spans="1:3" x14ac:dyDescent="0.4">
      <c r="A9" s="10"/>
      <c r="B9" s="2"/>
      <c r="C9" s="11">
        <v>5400</v>
      </c>
    </row>
    <row r="10" spans="1:3" x14ac:dyDescent="0.4">
      <c r="A10" s="10"/>
      <c r="B10" s="2"/>
      <c r="C10" s="11">
        <v>7716</v>
      </c>
    </row>
    <row r="11" spans="1:3" ht="19.5" thickBot="1" x14ac:dyDescent="0.45">
      <c r="A11" s="12"/>
      <c r="B11" s="3"/>
      <c r="C11" s="13">
        <v>4510</v>
      </c>
    </row>
    <row r="12" spans="1:3" ht="19.5" thickTop="1" x14ac:dyDescent="0.4">
      <c r="A12" s="8" t="s">
        <v>4</v>
      </c>
      <c r="B12" s="4"/>
      <c r="C12" s="14"/>
    </row>
    <row r="13" spans="1:3" x14ac:dyDescent="0.4">
      <c r="A13" s="10" t="s">
        <v>6</v>
      </c>
      <c r="B13" s="2">
        <v>48000</v>
      </c>
      <c r="C13" s="11"/>
    </row>
    <row r="14" spans="1:3" x14ac:dyDescent="0.4">
      <c r="A14" s="10" t="s">
        <v>5</v>
      </c>
      <c r="B14" s="2"/>
      <c r="C14" s="11">
        <v>6402</v>
      </c>
    </row>
    <row r="15" spans="1:3" x14ac:dyDescent="0.4">
      <c r="A15" s="10"/>
      <c r="B15" s="2"/>
      <c r="C15" s="11">
        <v>10800</v>
      </c>
    </row>
    <row r="16" spans="1:3" ht="19.5" thickBot="1" x14ac:dyDescent="0.45">
      <c r="A16" s="12"/>
      <c r="B16" s="3"/>
      <c r="C16" s="13">
        <v>13530</v>
      </c>
    </row>
    <row r="17" spans="1:3" ht="19.5" thickTop="1" x14ac:dyDescent="0.4">
      <c r="A17" s="15" t="s">
        <v>3</v>
      </c>
      <c r="B17" s="4">
        <f>B3+B13</f>
        <v>84000</v>
      </c>
      <c r="C17" s="14">
        <f>C4+C5+C6+C7+C8+C9+C10+C11+C14+C15+C16</f>
        <v>73703</v>
      </c>
    </row>
    <row r="18" spans="1:3" ht="30" customHeight="1" thickBot="1" x14ac:dyDescent="0.45">
      <c r="A18" s="16" t="s">
        <v>8</v>
      </c>
      <c r="B18" s="17">
        <f>B17-C17</f>
        <v>10297</v>
      </c>
      <c r="C18" s="18"/>
    </row>
  </sheetData>
  <mergeCells count="1">
    <mergeCell ref="B18:C18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茜 林田</dc:creator>
  <cp:lastModifiedBy>茜 林田</cp:lastModifiedBy>
  <dcterms:created xsi:type="dcterms:W3CDTF">2026-06-20T19:20:13Z</dcterms:created>
  <dcterms:modified xsi:type="dcterms:W3CDTF">2026-06-22T02:36:23Z</dcterms:modified>
</cp:coreProperties>
</file>